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heme/themeOverride1.xml" ContentType="application/vnd.openxmlformats-officedocument.themeOverrid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heme/themeOverride2.xml" ContentType="application/vnd.openxmlformats-officedocument.themeOverrid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theme/themeOverride3.xml" ContentType="application/vnd.openxmlformats-officedocument.themeOverrid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theme/themeOverride4.xml" ContentType="application/vnd.openxmlformats-officedocument.themeOverrid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2279d9513f17e0d/Documents/"/>
    </mc:Choice>
  </mc:AlternateContent>
  <xr:revisionPtr revIDLastSave="547" documentId="8_{D05B2F64-44F4-4FD7-8E17-C86CD4951B34}" xr6:coauthVersionLast="47" xr6:coauthVersionMax="47" xr10:uidLastSave="{74D1B02F-FEA6-41F1-9CC4-745BB972770C}"/>
  <bookViews>
    <workbookView xWindow="-98" yWindow="-98" windowWidth="21795" windowHeight="12975" activeTab="1" xr2:uid="{66D1909B-534B-4B0C-97B5-9816397B42D8}"/>
  </bookViews>
  <sheets>
    <sheet name="Sheet1" sheetId="1" r:id="rId1"/>
    <sheet name="Result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2" l="1"/>
  <c r="L2" i="2"/>
  <c r="N2" i="2"/>
  <c r="M3" i="2"/>
  <c r="N3" i="2"/>
  <c r="M4" i="2"/>
  <c r="N4" i="2"/>
  <c r="M5" i="2"/>
  <c r="N5" i="2"/>
  <c r="M6" i="2"/>
  <c r="N6" i="2"/>
  <c r="M7" i="2"/>
  <c r="N7" i="2"/>
  <c r="M8" i="2"/>
  <c r="N8" i="2"/>
  <c r="M9" i="2"/>
  <c r="N9" i="2"/>
  <c r="M10" i="2"/>
  <c r="N10" i="2"/>
  <c r="M11" i="2"/>
  <c r="N11" i="2"/>
  <c r="M12" i="2"/>
  <c r="N12" i="2"/>
  <c r="M13" i="2"/>
  <c r="N13" i="2"/>
  <c r="M14" i="2"/>
  <c r="N14" i="2"/>
  <c r="L3" i="2"/>
  <c r="L4" i="2"/>
  <c r="L5" i="2"/>
  <c r="L6" i="2"/>
  <c r="L7" i="2"/>
  <c r="L8" i="2"/>
  <c r="L9" i="2"/>
  <c r="L10" i="2"/>
  <c r="L11" i="2"/>
  <c r="L12" i="2"/>
  <c r="L13" i="2"/>
  <c r="L14" i="2"/>
  <c r="A8" i="1"/>
  <c r="A9" i="1"/>
  <c r="A10" i="1"/>
  <c r="A11" i="1"/>
  <c r="A12" i="1"/>
  <c r="A13" i="1"/>
  <c r="A14" i="1"/>
  <c r="A15" i="1"/>
  <c r="A16" i="1"/>
  <c r="A17" i="1"/>
  <c r="A18" i="1"/>
  <c r="A19" i="1"/>
  <c r="A20" i="1"/>
  <c r="A21" i="1"/>
  <c r="A22" i="1"/>
  <c r="A23" i="1"/>
  <c r="A7" i="1"/>
</calcChain>
</file>

<file path=xl/sharedStrings.xml><?xml version="1.0" encoding="utf-8"?>
<sst xmlns="http://schemas.openxmlformats.org/spreadsheetml/2006/main" count="33" uniqueCount="21">
  <si>
    <t>V(V)</t>
  </si>
  <si>
    <t>DC(mA)</t>
  </si>
  <si>
    <t>time(s)</t>
  </si>
  <si>
    <t>d</t>
  </si>
  <si>
    <t>umms</t>
  </si>
  <si>
    <t>Time(min)</t>
  </si>
  <si>
    <t>A</t>
  </si>
  <si>
    <t>4 ohms</t>
  </si>
  <si>
    <t>volt at 4 ohms (V)</t>
  </si>
  <si>
    <t>Volt at 2ohms(V)</t>
  </si>
  <si>
    <t>=</t>
  </si>
  <si>
    <t>Volt (V) 2Ω</t>
  </si>
  <si>
    <t>Volt (V) 4Ω</t>
  </si>
  <si>
    <t>charge(V)</t>
  </si>
  <si>
    <t>y</t>
  </si>
  <si>
    <t>Volt (V) 8Ω</t>
  </si>
  <si>
    <t>charge (V) 2nd try</t>
  </si>
  <si>
    <t>state of charge (%)</t>
  </si>
  <si>
    <t>battery percentage (%) 2Ω</t>
  </si>
  <si>
    <t>battery percentage (%) 4Ω</t>
  </si>
  <si>
    <t>battery percentage (%) 8Ω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</si>
</sst>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1.xml"/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2.xml"/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3.xml"/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themeOverride" Target="../theme/themeOverride4.xml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Voltage over time(2 ohms)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Sheet1!$A$2:$A$20</c:f>
              <c:numCache>
                <c:formatCode>General</c:formatCode>
                <c:ptCount val="19"/>
                <c:pt idx="5">
                  <c:v>0</c:v>
                </c:pt>
                <c:pt idx="6">
                  <c:v>20</c:v>
                </c:pt>
                <c:pt idx="7">
                  <c:v>40</c:v>
                </c:pt>
                <c:pt idx="8">
                  <c:v>60</c:v>
                </c:pt>
                <c:pt idx="9">
                  <c:v>80</c:v>
                </c:pt>
                <c:pt idx="10">
                  <c:v>100</c:v>
                </c:pt>
                <c:pt idx="11">
                  <c:v>120</c:v>
                </c:pt>
                <c:pt idx="12">
                  <c:v>140</c:v>
                </c:pt>
                <c:pt idx="13">
                  <c:v>160</c:v>
                </c:pt>
                <c:pt idx="14">
                  <c:v>180</c:v>
                </c:pt>
                <c:pt idx="15">
                  <c:v>200</c:v>
                </c:pt>
                <c:pt idx="16">
                  <c:v>220</c:v>
                </c:pt>
                <c:pt idx="17">
                  <c:v>240</c:v>
                </c:pt>
                <c:pt idx="18">
                  <c:v>260</c:v>
                </c:pt>
              </c:numCache>
            </c:numRef>
          </c:xVal>
          <c:yVal>
            <c:numRef>
              <c:f>Sheet1!$B$2:$B$20</c:f>
              <c:numCache>
                <c:formatCode>General</c:formatCode>
                <c:ptCount val="19"/>
                <c:pt idx="5">
                  <c:v>1.01</c:v>
                </c:pt>
                <c:pt idx="6">
                  <c:v>1</c:v>
                </c:pt>
                <c:pt idx="7">
                  <c:v>1.004</c:v>
                </c:pt>
                <c:pt idx="8">
                  <c:v>1.002</c:v>
                </c:pt>
                <c:pt idx="9">
                  <c:v>0.999</c:v>
                </c:pt>
                <c:pt idx="10">
                  <c:v>0.997</c:v>
                </c:pt>
                <c:pt idx="11">
                  <c:v>0.99399999999999999</c:v>
                </c:pt>
                <c:pt idx="12">
                  <c:v>0.99099999999999999</c:v>
                </c:pt>
                <c:pt idx="13">
                  <c:v>0.98799999999999999</c:v>
                </c:pt>
                <c:pt idx="14">
                  <c:v>0.98599999999999999</c:v>
                </c:pt>
                <c:pt idx="15">
                  <c:v>0.98399999999999999</c:v>
                </c:pt>
                <c:pt idx="16">
                  <c:v>0.98299999999999998</c:v>
                </c:pt>
                <c:pt idx="17">
                  <c:v>0.98099999999999998</c:v>
                </c:pt>
                <c:pt idx="18">
                  <c:v>0.98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002-49B5-9C63-435768F350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44869952"/>
        <c:axId val="1192364560"/>
      </c:scatterChart>
      <c:valAx>
        <c:axId val="1244869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92364560"/>
        <c:crosses val="autoZero"/>
        <c:crossBetween val="midCat"/>
      </c:valAx>
      <c:valAx>
        <c:axId val="119236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volt(V)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486995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Direct</a:t>
            </a:r>
            <a:r>
              <a:rPr lang="en-GB" baseline="0"/>
              <a:t> Current over time(2 ohms)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DC(mA)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Sheet1!$A$2:$A$20</c:f>
              <c:numCache>
                <c:formatCode>General</c:formatCode>
                <c:ptCount val="19"/>
                <c:pt idx="5">
                  <c:v>0</c:v>
                </c:pt>
                <c:pt idx="6">
                  <c:v>20</c:v>
                </c:pt>
                <c:pt idx="7">
                  <c:v>40</c:v>
                </c:pt>
                <c:pt idx="8">
                  <c:v>60</c:v>
                </c:pt>
                <c:pt idx="9">
                  <c:v>80</c:v>
                </c:pt>
                <c:pt idx="10">
                  <c:v>100</c:v>
                </c:pt>
                <c:pt idx="11">
                  <c:v>120</c:v>
                </c:pt>
                <c:pt idx="12">
                  <c:v>140</c:v>
                </c:pt>
                <c:pt idx="13">
                  <c:v>160</c:v>
                </c:pt>
                <c:pt idx="14">
                  <c:v>180</c:v>
                </c:pt>
                <c:pt idx="15">
                  <c:v>200</c:v>
                </c:pt>
                <c:pt idx="16">
                  <c:v>220</c:v>
                </c:pt>
                <c:pt idx="17">
                  <c:v>240</c:v>
                </c:pt>
                <c:pt idx="18">
                  <c:v>260</c:v>
                </c:pt>
              </c:numCache>
            </c:numRef>
          </c:xVal>
          <c:yVal>
            <c:numRef>
              <c:f>Sheet1!$C$2:$C$20</c:f>
              <c:numCache>
                <c:formatCode>General</c:formatCode>
                <c:ptCount val="19"/>
                <c:pt idx="5">
                  <c:v>19.2</c:v>
                </c:pt>
                <c:pt idx="6">
                  <c:v>19</c:v>
                </c:pt>
                <c:pt idx="7">
                  <c:v>18.48</c:v>
                </c:pt>
                <c:pt idx="8">
                  <c:v>18.41</c:v>
                </c:pt>
                <c:pt idx="9">
                  <c:v>18.329999999999998</c:v>
                </c:pt>
                <c:pt idx="10">
                  <c:v>18.25</c:v>
                </c:pt>
                <c:pt idx="11">
                  <c:v>18.18</c:v>
                </c:pt>
                <c:pt idx="12">
                  <c:v>18.12</c:v>
                </c:pt>
                <c:pt idx="13">
                  <c:v>18</c:v>
                </c:pt>
                <c:pt idx="14">
                  <c:v>17.940000000000001</c:v>
                </c:pt>
                <c:pt idx="15">
                  <c:v>17.87</c:v>
                </c:pt>
                <c:pt idx="16">
                  <c:v>17.829999999999998</c:v>
                </c:pt>
                <c:pt idx="17">
                  <c:v>17.649999999999999</c:v>
                </c:pt>
                <c:pt idx="18">
                  <c:v>17.600000000000001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0C6-45B1-A4AD-C118EF6D8D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3963071"/>
        <c:axId val="1763964031"/>
      </c:scatterChart>
      <c:valAx>
        <c:axId val="17639630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964031"/>
        <c:crosses val="autoZero"/>
        <c:crossBetween val="midCat"/>
      </c:valAx>
      <c:valAx>
        <c:axId val="176396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DC(mA)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9630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baseline="0"/>
              <a:t>Volts over time different ohms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4 ohms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Sheet1!$T$7:$T$23</c:f>
              <c:numCache>
                <c:formatCode>General</c:formatCode>
                <c:ptCount val="17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</c:numCache>
            </c:numRef>
          </c:xVal>
          <c:yVal>
            <c:numRef>
              <c:f>Sheet1!$U$7:$U$23</c:f>
              <c:numCache>
                <c:formatCode>General</c:formatCode>
                <c:ptCount val="17"/>
                <c:pt idx="0">
                  <c:v>1.1160000000000001</c:v>
                </c:pt>
                <c:pt idx="1">
                  <c:v>1.105</c:v>
                </c:pt>
                <c:pt idx="2">
                  <c:v>1.105</c:v>
                </c:pt>
                <c:pt idx="3">
                  <c:v>1.1040000000000001</c:v>
                </c:pt>
                <c:pt idx="4">
                  <c:v>1.1020000000000001</c:v>
                </c:pt>
                <c:pt idx="5">
                  <c:v>1.1000000000000001</c:v>
                </c:pt>
                <c:pt idx="6">
                  <c:v>1.099</c:v>
                </c:pt>
                <c:pt idx="7">
                  <c:v>1.097</c:v>
                </c:pt>
                <c:pt idx="8">
                  <c:v>1.0960000000000001</c:v>
                </c:pt>
                <c:pt idx="9">
                  <c:v>1.0940000000000001</c:v>
                </c:pt>
                <c:pt idx="10">
                  <c:v>1.093</c:v>
                </c:pt>
                <c:pt idx="11">
                  <c:v>1.0920000000000001</c:v>
                </c:pt>
                <c:pt idx="12">
                  <c:v>1.0900000000000001</c:v>
                </c:pt>
                <c:pt idx="13">
                  <c:v>1.089</c:v>
                </c:pt>
                <c:pt idx="14">
                  <c:v>1.0880000000000001</c:v>
                </c:pt>
                <c:pt idx="15">
                  <c:v>1.087</c:v>
                </c:pt>
                <c:pt idx="16">
                  <c:v>1.087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AF7-41FE-9850-AA85001DE344}"/>
            </c:ext>
          </c:extLst>
        </c:ser>
        <c:ser>
          <c:idx val="1"/>
          <c:order val="1"/>
          <c:tx>
            <c:v>2ohms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Sheet1!$T$7:$T$23</c:f>
              <c:numCache>
                <c:formatCode>General</c:formatCode>
                <c:ptCount val="17"/>
                <c:pt idx="0">
                  <c:v>0</c:v>
                </c:pt>
                <c:pt idx="1">
                  <c:v>20</c:v>
                </c:pt>
                <c:pt idx="2">
                  <c:v>40</c:v>
                </c:pt>
                <c:pt idx="3">
                  <c:v>60</c:v>
                </c:pt>
                <c:pt idx="4">
                  <c:v>80</c:v>
                </c:pt>
                <c:pt idx="5">
                  <c:v>100</c:v>
                </c:pt>
                <c:pt idx="6">
                  <c:v>120</c:v>
                </c:pt>
                <c:pt idx="7">
                  <c:v>140</c:v>
                </c:pt>
                <c:pt idx="8">
                  <c:v>160</c:v>
                </c:pt>
                <c:pt idx="9">
                  <c:v>180</c:v>
                </c:pt>
                <c:pt idx="10">
                  <c:v>200</c:v>
                </c:pt>
                <c:pt idx="11">
                  <c:v>220</c:v>
                </c:pt>
                <c:pt idx="12">
                  <c:v>240</c:v>
                </c:pt>
                <c:pt idx="13">
                  <c:v>260</c:v>
                </c:pt>
                <c:pt idx="14">
                  <c:v>280</c:v>
                </c:pt>
                <c:pt idx="15">
                  <c:v>300</c:v>
                </c:pt>
                <c:pt idx="16">
                  <c:v>320</c:v>
                </c:pt>
              </c:numCache>
            </c:numRef>
          </c:xVal>
          <c:yVal>
            <c:numRef>
              <c:f>Sheet1!$B$7:$B$23</c:f>
              <c:numCache>
                <c:formatCode>General</c:formatCode>
                <c:ptCount val="17"/>
                <c:pt idx="0">
                  <c:v>1.01</c:v>
                </c:pt>
                <c:pt idx="1">
                  <c:v>1</c:v>
                </c:pt>
                <c:pt idx="2">
                  <c:v>1.004</c:v>
                </c:pt>
                <c:pt idx="3">
                  <c:v>1.002</c:v>
                </c:pt>
                <c:pt idx="4">
                  <c:v>0.999</c:v>
                </c:pt>
                <c:pt idx="5">
                  <c:v>0.997</c:v>
                </c:pt>
                <c:pt idx="6">
                  <c:v>0.99399999999999999</c:v>
                </c:pt>
                <c:pt idx="7">
                  <c:v>0.99099999999999999</c:v>
                </c:pt>
                <c:pt idx="8">
                  <c:v>0.98799999999999999</c:v>
                </c:pt>
                <c:pt idx="9">
                  <c:v>0.98599999999999999</c:v>
                </c:pt>
                <c:pt idx="10">
                  <c:v>0.98399999999999999</c:v>
                </c:pt>
                <c:pt idx="11">
                  <c:v>0.98299999999999998</c:v>
                </c:pt>
                <c:pt idx="12">
                  <c:v>0.98099999999999998</c:v>
                </c:pt>
                <c:pt idx="13">
                  <c:v>0.98</c:v>
                </c:pt>
                <c:pt idx="14">
                  <c:v>0.97799999999999998</c:v>
                </c:pt>
                <c:pt idx="15">
                  <c:v>0.97599999999999998</c:v>
                </c:pt>
                <c:pt idx="16">
                  <c:v>0.97499999999999998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AF7-41FE-9850-AA85001DE3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3963071"/>
        <c:axId val="1763964031"/>
      </c:scatterChart>
      <c:valAx>
        <c:axId val="176396307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964031"/>
        <c:crosses val="autoZero"/>
        <c:crossBetween val="midCat"/>
      </c:valAx>
      <c:valAx>
        <c:axId val="176396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Volt 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39630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Batter</a:t>
            </a:r>
            <a:r>
              <a:rPr lang="en-GB" baseline="0"/>
              <a:t>y Voltage drain at different resistances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Sheet1!$AB$6</c:f>
              <c:strCache>
                <c:ptCount val="1"/>
                <c:pt idx="0">
                  <c:v>Volt (V) 2Ω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Sheet1!$AA$7:$AA$19</c:f>
              <c:numCache>
                <c:formatCode>General</c:formatCode>
                <c:ptCount val="13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</c:numCache>
            </c:numRef>
          </c:xVal>
          <c:yVal>
            <c:numRef>
              <c:f>Sheet1!$AB$7:$AB$19</c:f>
              <c:numCache>
                <c:formatCode>General</c:formatCode>
                <c:ptCount val="13"/>
                <c:pt idx="0">
                  <c:v>1.3049999999999999</c:v>
                </c:pt>
                <c:pt idx="1">
                  <c:v>1.2949999999999999</c:v>
                </c:pt>
                <c:pt idx="2">
                  <c:v>1.288</c:v>
                </c:pt>
                <c:pt idx="3">
                  <c:v>1.2829999999999999</c:v>
                </c:pt>
                <c:pt idx="4">
                  <c:v>1.28</c:v>
                </c:pt>
                <c:pt idx="5">
                  <c:v>1.276</c:v>
                </c:pt>
                <c:pt idx="6">
                  <c:v>1.27</c:v>
                </c:pt>
                <c:pt idx="7">
                  <c:v>1.266</c:v>
                </c:pt>
                <c:pt idx="8">
                  <c:v>1.2609999999999999</c:v>
                </c:pt>
                <c:pt idx="9">
                  <c:v>1.2589999999999999</c:v>
                </c:pt>
                <c:pt idx="10">
                  <c:v>1.256</c:v>
                </c:pt>
                <c:pt idx="11">
                  <c:v>1.252</c:v>
                </c:pt>
                <c:pt idx="12">
                  <c:v>1.2490000000000001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E68-4040-9C77-B67805C68703}"/>
            </c:ext>
          </c:extLst>
        </c:ser>
        <c:ser>
          <c:idx val="1"/>
          <c:order val="1"/>
          <c:tx>
            <c:strRef>
              <c:f>Sheet1!$AC$6</c:f>
              <c:strCache>
                <c:ptCount val="1"/>
                <c:pt idx="0">
                  <c:v>Volt (V) 4Ω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Sheet1!$AA$7:$AA$19</c:f>
              <c:numCache>
                <c:formatCode>General</c:formatCode>
                <c:ptCount val="13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</c:numCache>
            </c:numRef>
          </c:xVal>
          <c:yVal>
            <c:numRef>
              <c:f>Sheet1!$AC$7:$AC$19</c:f>
              <c:numCache>
                <c:formatCode>General</c:formatCode>
                <c:ptCount val="13"/>
                <c:pt idx="0">
                  <c:v>1.3049999999999999</c:v>
                </c:pt>
                <c:pt idx="1">
                  <c:v>1.2969999999999999</c:v>
                </c:pt>
                <c:pt idx="2">
                  <c:v>1.292</c:v>
                </c:pt>
                <c:pt idx="3">
                  <c:v>1.288</c:v>
                </c:pt>
                <c:pt idx="4">
                  <c:v>1.2869999999999999</c:v>
                </c:pt>
                <c:pt idx="5">
                  <c:v>1.282</c:v>
                </c:pt>
                <c:pt idx="6">
                  <c:v>1.278</c:v>
                </c:pt>
                <c:pt idx="7">
                  <c:v>1.2749999999999999</c:v>
                </c:pt>
                <c:pt idx="8">
                  <c:v>1.2729999999999999</c:v>
                </c:pt>
                <c:pt idx="9">
                  <c:v>1.2689999999999999</c:v>
                </c:pt>
                <c:pt idx="10">
                  <c:v>1.266</c:v>
                </c:pt>
                <c:pt idx="11">
                  <c:v>1.264</c:v>
                </c:pt>
                <c:pt idx="12">
                  <c:v>1.2609999999999999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E68-4040-9C77-B67805C68703}"/>
            </c:ext>
          </c:extLst>
        </c:ser>
        <c:ser>
          <c:idx val="2"/>
          <c:order val="2"/>
          <c:tx>
            <c:strRef>
              <c:f>Sheet1!$AD$6</c:f>
              <c:strCache>
                <c:ptCount val="1"/>
                <c:pt idx="0">
                  <c:v>Volt (V) 8Ω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Sheet1!$AA$7:$AA$19</c:f>
              <c:numCache>
                <c:formatCode>General</c:formatCode>
                <c:ptCount val="13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</c:numCache>
            </c:numRef>
          </c:xVal>
          <c:yVal>
            <c:numRef>
              <c:f>Sheet1!$AD$7:$AD$19</c:f>
              <c:numCache>
                <c:formatCode>General</c:formatCode>
                <c:ptCount val="13"/>
                <c:pt idx="0">
                  <c:v>1.3049999999999999</c:v>
                </c:pt>
                <c:pt idx="1">
                  <c:v>1.298</c:v>
                </c:pt>
                <c:pt idx="2">
                  <c:v>1.2949999999999999</c:v>
                </c:pt>
                <c:pt idx="3">
                  <c:v>1.2929999999999999</c:v>
                </c:pt>
                <c:pt idx="4">
                  <c:v>1.2909999999999999</c:v>
                </c:pt>
                <c:pt idx="5">
                  <c:v>1.2889999999999999</c:v>
                </c:pt>
                <c:pt idx="6">
                  <c:v>1.2869999999999999</c:v>
                </c:pt>
                <c:pt idx="7">
                  <c:v>1.2849999999999999</c:v>
                </c:pt>
                <c:pt idx="8">
                  <c:v>1.2829999999999999</c:v>
                </c:pt>
                <c:pt idx="9">
                  <c:v>1.282</c:v>
                </c:pt>
                <c:pt idx="10">
                  <c:v>1.28</c:v>
                </c:pt>
                <c:pt idx="11">
                  <c:v>1.2789999999999999</c:v>
                </c:pt>
                <c:pt idx="12">
                  <c:v>1.2769999999999999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E68-4040-9C77-B67805C687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2836271"/>
        <c:axId val="1241257104"/>
      </c:scatterChart>
      <c:valAx>
        <c:axId val="1762836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  <a:r>
                  <a:rPr lang="en-GB" baseline="0"/>
                  <a:t>(s)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257104"/>
        <c:crosses val="autoZero"/>
        <c:crossBetween val="midCat"/>
      </c:valAx>
      <c:valAx>
        <c:axId val="124125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Volt</a:t>
                </a:r>
                <a:r>
                  <a:rPr lang="en-GB" baseline="0"/>
                  <a:t> (V)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8362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Sheet1!$AH$6</c:f>
              <c:strCache>
                <c:ptCount val="1"/>
                <c:pt idx="0">
                  <c:v>charge (V) 2nd try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Sheet1!$AF$7:$AF$19</c:f>
              <c:numCache>
                <c:formatCode>General</c:formatCode>
                <c:ptCount val="13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</c:numCache>
            </c:numRef>
          </c:xVal>
          <c:yVal>
            <c:numRef>
              <c:f>Sheet1!$AH$7:$AH$19</c:f>
              <c:numCache>
                <c:formatCode>General</c:formatCode>
                <c:ptCount val="13"/>
                <c:pt idx="0">
                  <c:v>1.2609999999999999</c:v>
                </c:pt>
                <c:pt idx="1">
                  <c:v>1.2709999999999999</c:v>
                </c:pt>
                <c:pt idx="2">
                  <c:v>1.276</c:v>
                </c:pt>
                <c:pt idx="3">
                  <c:v>1.28</c:v>
                </c:pt>
                <c:pt idx="4">
                  <c:v>1.2829999999999999</c:v>
                </c:pt>
                <c:pt idx="5">
                  <c:v>1.2869999999999999</c:v>
                </c:pt>
                <c:pt idx="6">
                  <c:v>1.29</c:v>
                </c:pt>
                <c:pt idx="7">
                  <c:v>1.292</c:v>
                </c:pt>
                <c:pt idx="8">
                  <c:v>1.2949999999999999</c:v>
                </c:pt>
                <c:pt idx="9">
                  <c:v>1.2989999999999999</c:v>
                </c:pt>
                <c:pt idx="10">
                  <c:v>1.3009999999999999</c:v>
                </c:pt>
                <c:pt idx="11">
                  <c:v>1.3029999999999999</c:v>
                </c:pt>
                <c:pt idx="12">
                  <c:v>1.3049999999999999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187-48C6-9C90-60CA6B4C18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0772111"/>
        <c:axId val="1850773071"/>
      </c:scatterChart>
      <c:valAx>
        <c:axId val="185077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773071"/>
        <c:crosses val="autoZero"/>
        <c:crossBetween val="midCat"/>
      </c:valAx>
      <c:valAx>
        <c:axId val="185077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Volt(V)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772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Sheet1!$AI$6</c:f>
              <c:strCache>
                <c:ptCount val="1"/>
                <c:pt idx="0">
                  <c:v>state of charge 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Sheet1!$AF$7:$AF$19</c:f>
              <c:numCache>
                <c:formatCode>General</c:formatCode>
                <c:ptCount val="13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</c:numCache>
            </c:numRef>
          </c:xVal>
          <c:yVal>
            <c:numRef>
              <c:f>Sheet1!$AI$7:$AI$19</c:f>
              <c:numCache>
                <c:formatCode>General</c:formatCode>
                <c:ptCount val="13"/>
                <c:pt idx="0">
                  <c:v>75.277777</c:v>
                </c:pt>
                <c:pt idx="1">
                  <c:v>78.055555549999994</c:v>
                </c:pt>
                <c:pt idx="2">
                  <c:v>79.444444000000004</c:v>
                </c:pt>
                <c:pt idx="3">
                  <c:v>80.555554999999998</c:v>
                </c:pt>
                <c:pt idx="4">
                  <c:v>81.388888800000004</c:v>
                </c:pt>
                <c:pt idx="5">
                  <c:v>82.5</c:v>
                </c:pt>
                <c:pt idx="6">
                  <c:v>83.333333300000007</c:v>
                </c:pt>
                <c:pt idx="7">
                  <c:v>83.888888879999996</c:v>
                </c:pt>
                <c:pt idx="8">
                  <c:v>84.722222200000004</c:v>
                </c:pt>
                <c:pt idx="9">
                  <c:v>85.833333300000007</c:v>
                </c:pt>
                <c:pt idx="10">
                  <c:v>86.3888888888888</c:v>
                </c:pt>
                <c:pt idx="11">
                  <c:v>86.944444439999998</c:v>
                </c:pt>
                <c:pt idx="12">
                  <c:v>87.5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480-4182-8F0A-5FA6C55AD3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0772111"/>
        <c:axId val="1850773071"/>
      </c:scatterChart>
      <c:valAx>
        <c:axId val="185077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773071"/>
        <c:crosses val="autoZero"/>
        <c:crossBetween val="midCat"/>
      </c:valAx>
      <c:valAx>
        <c:axId val="185077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SoC</a:t>
                </a:r>
                <a:r>
                  <a:rPr lang="en-GB" baseline="0"/>
                  <a:t> (%)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772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Batter</a:t>
            </a:r>
            <a:r>
              <a:rPr lang="en-GB" baseline="0"/>
              <a:t>y Voltage drain at different resistances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GB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Results!$B$1</c:f>
              <c:strCache>
                <c:ptCount val="1"/>
                <c:pt idx="0">
                  <c:v>Volt (V) 2Ω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Results!$A$2:$A$14</c:f>
              <c:numCache>
                <c:formatCode>General</c:formatCode>
                <c:ptCount val="13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</c:numCache>
            </c:numRef>
          </c:xVal>
          <c:yVal>
            <c:numRef>
              <c:f>Results!$B$2:$B$14</c:f>
              <c:numCache>
                <c:formatCode>General</c:formatCode>
                <c:ptCount val="13"/>
                <c:pt idx="0">
                  <c:v>1.3049999999999999</c:v>
                </c:pt>
                <c:pt idx="1">
                  <c:v>1.2949999999999999</c:v>
                </c:pt>
                <c:pt idx="2">
                  <c:v>1.288</c:v>
                </c:pt>
                <c:pt idx="3">
                  <c:v>1.2829999999999999</c:v>
                </c:pt>
                <c:pt idx="4">
                  <c:v>1.28</c:v>
                </c:pt>
                <c:pt idx="5">
                  <c:v>1.276</c:v>
                </c:pt>
                <c:pt idx="6">
                  <c:v>1.27</c:v>
                </c:pt>
                <c:pt idx="7">
                  <c:v>1.266</c:v>
                </c:pt>
                <c:pt idx="8">
                  <c:v>1.2609999999999999</c:v>
                </c:pt>
                <c:pt idx="9">
                  <c:v>1.2589999999999999</c:v>
                </c:pt>
                <c:pt idx="10">
                  <c:v>1.256</c:v>
                </c:pt>
                <c:pt idx="11">
                  <c:v>1.252</c:v>
                </c:pt>
                <c:pt idx="12">
                  <c:v>1.2490000000000001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AD56-4DFC-A3EE-D783AA7ABBC8}"/>
            </c:ext>
          </c:extLst>
        </c:ser>
        <c:ser>
          <c:idx val="1"/>
          <c:order val="1"/>
          <c:tx>
            <c:strRef>
              <c:f>Results!$C$1</c:f>
              <c:strCache>
                <c:ptCount val="1"/>
                <c:pt idx="0">
                  <c:v>Volt (V) 4Ω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Results!$A$2:$A$14</c:f>
              <c:numCache>
                <c:formatCode>General</c:formatCode>
                <c:ptCount val="13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</c:numCache>
            </c:numRef>
          </c:xVal>
          <c:yVal>
            <c:numRef>
              <c:f>Results!$C$2:$C$14</c:f>
              <c:numCache>
                <c:formatCode>General</c:formatCode>
                <c:ptCount val="13"/>
                <c:pt idx="0">
                  <c:v>1.3049999999999999</c:v>
                </c:pt>
                <c:pt idx="1">
                  <c:v>1.2969999999999999</c:v>
                </c:pt>
                <c:pt idx="2">
                  <c:v>1.292</c:v>
                </c:pt>
                <c:pt idx="3">
                  <c:v>1.288</c:v>
                </c:pt>
                <c:pt idx="4">
                  <c:v>1.2869999999999999</c:v>
                </c:pt>
                <c:pt idx="5">
                  <c:v>1.282</c:v>
                </c:pt>
                <c:pt idx="6">
                  <c:v>1.278</c:v>
                </c:pt>
                <c:pt idx="7">
                  <c:v>1.2749999999999999</c:v>
                </c:pt>
                <c:pt idx="8">
                  <c:v>1.2729999999999999</c:v>
                </c:pt>
                <c:pt idx="9">
                  <c:v>1.2689999999999999</c:v>
                </c:pt>
                <c:pt idx="10">
                  <c:v>1.266</c:v>
                </c:pt>
                <c:pt idx="11">
                  <c:v>1.264</c:v>
                </c:pt>
                <c:pt idx="12">
                  <c:v>1.2609999999999999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AD56-4DFC-A3EE-D783AA7ABBC8}"/>
            </c:ext>
          </c:extLst>
        </c:ser>
        <c:ser>
          <c:idx val="2"/>
          <c:order val="2"/>
          <c:tx>
            <c:strRef>
              <c:f>Results!$D$1</c:f>
              <c:strCache>
                <c:ptCount val="1"/>
                <c:pt idx="0">
                  <c:v>Volt (V) 8Ω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Results!$A$2:$A$14</c:f>
              <c:numCache>
                <c:formatCode>General</c:formatCode>
                <c:ptCount val="13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</c:numCache>
            </c:numRef>
          </c:xVal>
          <c:yVal>
            <c:numRef>
              <c:f>Results!$D$2:$D$14</c:f>
              <c:numCache>
                <c:formatCode>General</c:formatCode>
                <c:ptCount val="13"/>
                <c:pt idx="0">
                  <c:v>1.3049999999999999</c:v>
                </c:pt>
                <c:pt idx="1">
                  <c:v>1.298</c:v>
                </c:pt>
                <c:pt idx="2">
                  <c:v>1.2949999999999999</c:v>
                </c:pt>
                <c:pt idx="3">
                  <c:v>1.2929999999999999</c:v>
                </c:pt>
                <c:pt idx="4">
                  <c:v>1.2909999999999999</c:v>
                </c:pt>
                <c:pt idx="5">
                  <c:v>1.2889999999999999</c:v>
                </c:pt>
                <c:pt idx="6">
                  <c:v>1.2869999999999999</c:v>
                </c:pt>
                <c:pt idx="7">
                  <c:v>1.2849999999999999</c:v>
                </c:pt>
                <c:pt idx="8">
                  <c:v>1.2829999999999999</c:v>
                </c:pt>
                <c:pt idx="9">
                  <c:v>1.282</c:v>
                </c:pt>
                <c:pt idx="10">
                  <c:v>1.28</c:v>
                </c:pt>
                <c:pt idx="11">
                  <c:v>1.2789999999999999</c:v>
                </c:pt>
                <c:pt idx="12">
                  <c:v>1.2769999999999999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AD56-4DFC-A3EE-D783AA7ABB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2836271"/>
        <c:axId val="1241257104"/>
      </c:scatterChart>
      <c:valAx>
        <c:axId val="1762836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</a:t>
                </a:r>
                <a:r>
                  <a:rPr lang="en-GB" baseline="0"/>
                  <a:t>(s)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1257104"/>
        <c:crosses val="autoZero"/>
        <c:crossBetween val="midCat"/>
      </c:valAx>
      <c:valAx>
        <c:axId val="124125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Volt</a:t>
                </a:r>
                <a:r>
                  <a:rPr lang="en-GB" baseline="0"/>
                  <a:t> (V)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283627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Results!$H$1</c:f>
              <c:strCache>
                <c:ptCount val="1"/>
                <c:pt idx="0">
                  <c:v>charge (V) 2nd try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Results!$F$2:$F$14</c:f>
              <c:numCache>
                <c:formatCode>General</c:formatCode>
                <c:ptCount val="13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</c:numCache>
            </c:numRef>
          </c:xVal>
          <c:yVal>
            <c:numRef>
              <c:f>Results!$H$2:$H$14</c:f>
              <c:numCache>
                <c:formatCode>General</c:formatCode>
                <c:ptCount val="13"/>
                <c:pt idx="0">
                  <c:v>1.2609999999999999</c:v>
                </c:pt>
                <c:pt idx="1">
                  <c:v>1.2709999999999999</c:v>
                </c:pt>
                <c:pt idx="2">
                  <c:v>1.276</c:v>
                </c:pt>
                <c:pt idx="3">
                  <c:v>1.28</c:v>
                </c:pt>
                <c:pt idx="4">
                  <c:v>1.2829999999999999</c:v>
                </c:pt>
                <c:pt idx="5">
                  <c:v>1.2869999999999999</c:v>
                </c:pt>
                <c:pt idx="6">
                  <c:v>1.29</c:v>
                </c:pt>
                <c:pt idx="7">
                  <c:v>1.292</c:v>
                </c:pt>
                <c:pt idx="8">
                  <c:v>1.2949999999999999</c:v>
                </c:pt>
                <c:pt idx="9">
                  <c:v>1.2989999999999999</c:v>
                </c:pt>
                <c:pt idx="10">
                  <c:v>1.3009999999999999</c:v>
                </c:pt>
                <c:pt idx="11">
                  <c:v>1.3029999999999999</c:v>
                </c:pt>
                <c:pt idx="12">
                  <c:v>1.3049999999999999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A36-4A89-B093-A150A4DEBE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0772111"/>
        <c:axId val="1850773071"/>
      </c:scatterChart>
      <c:valAx>
        <c:axId val="185077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773071"/>
        <c:crosses val="autoZero"/>
        <c:crossBetween val="midCat"/>
      </c:valAx>
      <c:valAx>
        <c:axId val="185077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Volt(V)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772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Results!$I$1</c:f>
              <c:strCache>
                <c:ptCount val="1"/>
                <c:pt idx="0">
                  <c:v>state of charge (%)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Results!$F$2:$F$14</c:f>
              <c:numCache>
                <c:formatCode>General</c:formatCode>
                <c:ptCount val="13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</c:numCache>
            </c:numRef>
          </c:xVal>
          <c:yVal>
            <c:numRef>
              <c:f>Results!$I$2:$I$14</c:f>
              <c:numCache>
                <c:formatCode>General</c:formatCode>
                <c:ptCount val="13"/>
                <c:pt idx="0">
                  <c:v>75.277777</c:v>
                </c:pt>
                <c:pt idx="1">
                  <c:v>78.055555549999994</c:v>
                </c:pt>
                <c:pt idx="2">
                  <c:v>79.444444000000004</c:v>
                </c:pt>
                <c:pt idx="3">
                  <c:v>80.555554999999998</c:v>
                </c:pt>
                <c:pt idx="4">
                  <c:v>81.388888800000004</c:v>
                </c:pt>
                <c:pt idx="5">
                  <c:v>82.5</c:v>
                </c:pt>
                <c:pt idx="6">
                  <c:v>83.333333300000007</c:v>
                </c:pt>
                <c:pt idx="7">
                  <c:v>83.888888879999996</c:v>
                </c:pt>
                <c:pt idx="8">
                  <c:v>84.722222200000004</c:v>
                </c:pt>
                <c:pt idx="9">
                  <c:v>85.833333300000007</c:v>
                </c:pt>
                <c:pt idx="10">
                  <c:v>86.3888888888888</c:v>
                </c:pt>
                <c:pt idx="11">
                  <c:v>86.944444439999998</c:v>
                </c:pt>
                <c:pt idx="12">
                  <c:v>87.5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309-4688-81E4-E5B687DA2C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50772111"/>
        <c:axId val="1850773071"/>
      </c:scatterChart>
      <c:valAx>
        <c:axId val="18507721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773071"/>
        <c:crosses val="autoZero"/>
        <c:crossBetween val="midCat"/>
      </c:valAx>
      <c:valAx>
        <c:axId val="1850773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SoC</a:t>
                </a:r>
                <a:r>
                  <a:rPr lang="en-GB" baseline="0"/>
                  <a:t> (%)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GB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77211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 SoC for different resistive discharging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Results!$L$1</c:f>
              <c:strCache>
                <c:ptCount val="1"/>
                <c:pt idx="0">
                  <c:v>battery percentage (%) 2Ω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Results!$A$2:$A$14</c:f>
              <c:numCache>
                <c:formatCode>General</c:formatCode>
                <c:ptCount val="13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</c:numCache>
            </c:numRef>
          </c:xVal>
          <c:yVal>
            <c:numRef>
              <c:f>Results!$L$2:$L$14</c:f>
              <c:numCache>
                <c:formatCode>General</c:formatCode>
                <c:ptCount val="13"/>
                <c:pt idx="0">
                  <c:v>87.499999999999957</c:v>
                </c:pt>
                <c:pt idx="1">
                  <c:v>84.722222222222172</c:v>
                </c:pt>
                <c:pt idx="2">
                  <c:v>82.777777777777771</c:v>
                </c:pt>
                <c:pt idx="3">
                  <c:v>81.388888888888843</c:v>
                </c:pt>
                <c:pt idx="4">
                  <c:v>80.555555555555543</c:v>
                </c:pt>
                <c:pt idx="5">
                  <c:v>79.444444444444429</c:v>
                </c:pt>
                <c:pt idx="6">
                  <c:v>77.777777777777757</c:v>
                </c:pt>
                <c:pt idx="7">
                  <c:v>76.666666666666643</c:v>
                </c:pt>
                <c:pt idx="8">
                  <c:v>75.277777777777729</c:v>
                </c:pt>
                <c:pt idx="9">
                  <c:v>74.722222222222172</c:v>
                </c:pt>
                <c:pt idx="10">
                  <c:v>73.888888888888872</c:v>
                </c:pt>
                <c:pt idx="11">
                  <c:v>72.777777777777757</c:v>
                </c:pt>
                <c:pt idx="12">
                  <c:v>71.944444444444457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8B4-4C05-AB23-4FB69101D2E9}"/>
            </c:ext>
          </c:extLst>
        </c:ser>
        <c:ser>
          <c:idx val="1"/>
          <c:order val="1"/>
          <c:tx>
            <c:strRef>
              <c:f>Results!$M$1</c:f>
              <c:strCache>
                <c:ptCount val="1"/>
                <c:pt idx="0">
                  <c:v>battery percentage (%) 4Ω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Results!$A$2:$A$14</c:f>
              <c:numCache>
                <c:formatCode>General</c:formatCode>
                <c:ptCount val="13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</c:numCache>
            </c:numRef>
          </c:xVal>
          <c:yVal>
            <c:numRef>
              <c:f>Results!$M$2:$M$14</c:f>
              <c:numCache>
                <c:formatCode>General</c:formatCode>
                <c:ptCount val="13"/>
                <c:pt idx="0">
                  <c:v>87.499999999999957</c:v>
                </c:pt>
                <c:pt idx="1">
                  <c:v>85.277777777777729</c:v>
                </c:pt>
                <c:pt idx="2">
                  <c:v>83.888888888888872</c:v>
                </c:pt>
                <c:pt idx="3">
                  <c:v>82.777777777777771</c:v>
                </c:pt>
                <c:pt idx="4">
                  <c:v>82.499999999999957</c:v>
                </c:pt>
                <c:pt idx="5">
                  <c:v>81.1111111111111</c:v>
                </c:pt>
                <c:pt idx="6">
                  <c:v>79.999999999999986</c:v>
                </c:pt>
                <c:pt idx="7">
                  <c:v>79.166666666666615</c:v>
                </c:pt>
                <c:pt idx="8">
                  <c:v>78.611111111111057</c:v>
                </c:pt>
                <c:pt idx="9">
                  <c:v>77.499999999999943</c:v>
                </c:pt>
                <c:pt idx="10">
                  <c:v>76.666666666666643</c:v>
                </c:pt>
                <c:pt idx="11">
                  <c:v>76.111111111111086</c:v>
                </c:pt>
                <c:pt idx="12">
                  <c:v>75.277777777777729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E8B4-4C05-AB23-4FB69101D2E9}"/>
            </c:ext>
          </c:extLst>
        </c:ser>
        <c:ser>
          <c:idx val="2"/>
          <c:order val="2"/>
          <c:tx>
            <c:strRef>
              <c:f>Results!$N$1</c:f>
              <c:strCache>
                <c:ptCount val="1"/>
                <c:pt idx="0">
                  <c:v>battery percentage (%) 8Ω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Results!$A$2:$A$14</c:f>
              <c:numCache>
                <c:formatCode>General</c:formatCode>
                <c:ptCount val="13"/>
                <c:pt idx="0">
                  <c:v>0</c:v>
                </c:pt>
                <c:pt idx="1">
                  <c:v>30</c:v>
                </c:pt>
                <c:pt idx="2">
                  <c:v>60</c:v>
                </c:pt>
                <c:pt idx="3">
                  <c:v>90</c:v>
                </c:pt>
                <c:pt idx="4">
                  <c:v>120</c:v>
                </c:pt>
                <c:pt idx="5">
                  <c:v>150</c:v>
                </c:pt>
                <c:pt idx="6">
                  <c:v>180</c:v>
                </c:pt>
                <c:pt idx="7">
                  <c:v>210</c:v>
                </c:pt>
                <c:pt idx="8">
                  <c:v>240</c:v>
                </c:pt>
                <c:pt idx="9">
                  <c:v>270</c:v>
                </c:pt>
                <c:pt idx="10">
                  <c:v>300</c:v>
                </c:pt>
                <c:pt idx="11">
                  <c:v>330</c:v>
                </c:pt>
                <c:pt idx="12">
                  <c:v>360</c:v>
                </c:pt>
              </c:numCache>
            </c:numRef>
          </c:xVal>
          <c:yVal>
            <c:numRef>
              <c:f>Results!$N$2:$N$14</c:f>
              <c:numCache>
                <c:formatCode>General</c:formatCode>
                <c:ptCount val="13"/>
                <c:pt idx="0">
                  <c:v>87.499999999999957</c:v>
                </c:pt>
                <c:pt idx="1">
                  <c:v>85.555555555555543</c:v>
                </c:pt>
                <c:pt idx="2">
                  <c:v>84.722222222222172</c:v>
                </c:pt>
                <c:pt idx="3">
                  <c:v>84.166666666666629</c:v>
                </c:pt>
                <c:pt idx="4">
                  <c:v>83.611111111111057</c:v>
                </c:pt>
                <c:pt idx="5">
                  <c:v>83.055555555555515</c:v>
                </c:pt>
                <c:pt idx="6">
                  <c:v>82.499999999999957</c:v>
                </c:pt>
                <c:pt idx="7">
                  <c:v>81.9444444444444</c:v>
                </c:pt>
                <c:pt idx="8">
                  <c:v>81.388888888888843</c:v>
                </c:pt>
                <c:pt idx="9">
                  <c:v>81.1111111111111</c:v>
                </c:pt>
                <c:pt idx="10">
                  <c:v>80.555555555555543</c:v>
                </c:pt>
                <c:pt idx="11">
                  <c:v>80.277777777777729</c:v>
                </c:pt>
                <c:pt idx="12">
                  <c:v>79.722222222222172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E8B4-4C05-AB23-4FB69101D2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35537727"/>
        <c:axId val="2035527647"/>
      </c:scatterChart>
      <c:valAx>
        <c:axId val="203553772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time (s)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527647"/>
        <c:crosses val="autoZero"/>
        <c:crossBetween val="midCat"/>
      </c:valAx>
      <c:valAx>
        <c:axId val="2035527647"/>
        <c:scaling>
          <c:orientation val="minMax"/>
          <c:min val="7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SoC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553772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26193</xdr:colOff>
      <xdr:row>5</xdr:row>
      <xdr:rowOff>90487</xdr:rowOff>
    </xdr:from>
    <xdr:to>
      <xdr:col>11</xdr:col>
      <xdr:colOff>64293</xdr:colOff>
      <xdr:row>20</xdr:row>
      <xdr:rowOff>119062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F23D34-6422-79FA-E4EE-D1EDC41773A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211932</xdr:colOff>
      <xdr:row>5</xdr:row>
      <xdr:rowOff>123824</xdr:rowOff>
    </xdr:from>
    <xdr:to>
      <xdr:col>18</xdr:col>
      <xdr:colOff>250032</xdr:colOff>
      <xdr:row>20</xdr:row>
      <xdr:rowOff>152399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9AF8414-050E-59C3-F6C9-0F8B9430A35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185737</xdr:colOff>
      <xdr:row>22</xdr:row>
      <xdr:rowOff>9525</xdr:rowOff>
    </xdr:from>
    <xdr:to>
      <xdr:col>17</xdr:col>
      <xdr:colOff>223837</xdr:colOff>
      <xdr:row>37</xdr:row>
      <xdr:rowOff>38100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17D8464F-0986-47C4-8BA5-C220286173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23</xdr:col>
      <xdr:colOff>319909</xdr:colOff>
      <xdr:row>23</xdr:row>
      <xdr:rowOff>112740</xdr:rowOff>
    </xdr:from>
    <xdr:to>
      <xdr:col>30</xdr:col>
      <xdr:colOff>369892</xdr:colOff>
      <xdr:row>38</xdr:row>
      <xdr:rowOff>168194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D1BED26-3DAB-DB13-D7AD-E70674C0922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32</xdr:col>
      <xdr:colOff>217445</xdr:colOff>
      <xdr:row>21</xdr:row>
      <xdr:rowOff>116680</xdr:rowOff>
    </xdr:from>
    <xdr:to>
      <xdr:col>39</xdr:col>
      <xdr:colOff>271336</xdr:colOff>
      <xdr:row>36</xdr:row>
      <xdr:rowOff>133976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F6D027F0-4D9C-0C29-FA5E-FCB404F8B7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39</xdr:col>
      <xdr:colOff>601167</xdr:colOff>
      <xdr:row>22</xdr:row>
      <xdr:rowOff>62458</xdr:rowOff>
    </xdr:from>
    <xdr:to>
      <xdr:col>47</xdr:col>
      <xdr:colOff>7046</xdr:colOff>
      <xdr:row>37</xdr:row>
      <xdr:rowOff>79752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0255F4DE-44A7-451B-A887-30902C3CCC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137377</xdr:colOff>
      <xdr:row>10</xdr:row>
      <xdr:rowOff>91586</xdr:rowOff>
    </xdr:from>
    <xdr:to>
      <xdr:col>19</xdr:col>
      <xdr:colOff>436831</xdr:colOff>
      <xdr:row>22</xdr:row>
      <xdr:rowOff>119062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03CF7D4-30FC-4551-8166-D96B1D6C5A2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146537</xdr:colOff>
      <xdr:row>0</xdr:row>
      <xdr:rowOff>0</xdr:rowOff>
    </xdr:from>
    <xdr:to>
      <xdr:col>19</xdr:col>
      <xdr:colOff>427472</xdr:colOff>
      <xdr:row>10</xdr:row>
      <xdr:rowOff>96934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2709ABE-4C96-49CC-BBE8-7C8B40EE68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373650</xdr:colOff>
      <xdr:row>15</xdr:row>
      <xdr:rowOff>172848</xdr:rowOff>
    </xdr:from>
    <xdr:to>
      <xdr:col>12</xdr:col>
      <xdr:colOff>1620351</xdr:colOff>
      <xdr:row>30</xdr:row>
      <xdr:rowOff>169063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F27B53DA-33CE-4D35-918C-09ECFFA5E4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15</xdr:row>
      <xdr:rowOff>127247</xdr:rowOff>
    </xdr:from>
    <xdr:to>
      <xdr:col>8</xdr:col>
      <xdr:colOff>178183</xdr:colOff>
      <xdr:row>36</xdr:row>
      <xdr:rowOff>111020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F5A3B1F-9C4A-88F6-FBC6-A5DC82DA53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2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3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theme/themeOverride4.xml><?xml version="1.0" encoding="utf-8"?>
<a:themeOverride xmlns:a="http://schemas.openxmlformats.org/drawingml/2006/main">
  <a:clrScheme name="Office">
    <a:dk1>
      <a:sysClr val="windowText" lastClr="000000"/>
    </a:dk1>
    <a:lt1>
      <a:sysClr val="window" lastClr="FFFFFF"/>
    </a:lt1>
    <a:dk2>
      <a:srgbClr val="0E2841"/>
    </a:dk2>
    <a:lt2>
      <a:srgbClr val="E8E8E8"/>
    </a:lt2>
    <a:accent1>
      <a:srgbClr val="156082"/>
    </a:accent1>
    <a:accent2>
      <a:srgbClr val="E97132"/>
    </a:accent2>
    <a:accent3>
      <a:srgbClr val="196B24"/>
    </a:accent3>
    <a:accent4>
      <a:srgbClr val="0F9ED5"/>
    </a:accent4>
    <a:accent5>
      <a:srgbClr val="A02B93"/>
    </a:accent5>
    <a:accent6>
      <a:srgbClr val="4EA72E"/>
    </a:accent6>
    <a:hlink>
      <a:srgbClr val="467886"/>
    </a:hlink>
    <a:folHlink>
      <a:srgbClr val="96607D"/>
    </a:folHlink>
  </a:clrScheme>
  <a:fontScheme name="Office">
    <a:majorFont>
      <a:latin typeface="Aptos Display" panose="02110004020202020204"/>
      <a:ea typeface=""/>
      <a:cs typeface=""/>
      <a:font script="Jpan" typeface="游ゴシック Light"/>
      <a:font script="Hang" typeface="맑은 고딕"/>
      <a:font script="Hans" typeface="等线 Light"/>
      <a:font script="Hant" typeface="新細明體"/>
      <a:font script="Arab" typeface="Times New Roman"/>
      <a:font script="Hebr" typeface="Times New Roman"/>
      <a:font script="Thai" typeface="Tahoma"/>
      <a:font script="Ethi" typeface="Nyala"/>
      <a:font script="Beng" typeface="Vrinda"/>
      <a:font script="Gujr" typeface="Shruti"/>
      <a:font script="Khmr" typeface="MoolBoran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Times New Roman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ajorFont>
    <a:minorFont>
      <a:latin typeface="Aptos Narrow" panose="02110004020202020204"/>
      <a:ea typeface=""/>
      <a:cs typeface=""/>
      <a:font script="Jpan" typeface="游ゴシック"/>
      <a:font script="Hang" typeface="맑은 고딕"/>
      <a:font script="Hans" typeface="等线"/>
      <a:font script="Hant" typeface="新細明體"/>
      <a:font script="Arab" typeface="Arial"/>
      <a:font script="Hebr" typeface="Arial"/>
      <a:font script="Thai" typeface="Tahoma"/>
      <a:font script="Ethi" typeface="Nyala"/>
      <a:font script="Beng" typeface="Vrinda"/>
      <a:font script="Gujr" typeface="Shruti"/>
      <a:font script="Khmr" typeface="DaunPenh"/>
      <a:font script="Knda" typeface="Tunga"/>
      <a:font script="Guru" typeface="Raavi"/>
      <a:font script="Cans" typeface="Euphemia"/>
      <a:font script="Cher" typeface="Plantagenet Cherokee"/>
      <a:font script="Yiii" typeface="Microsoft Yi Baiti"/>
      <a:font script="Tibt" typeface="Microsoft Himalaya"/>
      <a:font script="Thaa" typeface="MV Boli"/>
      <a:font script="Deva" typeface="Mangal"/>
      <a:font script="Telu" typeface="Gautami"/>
      <a:font script="Taml" typeface="Latha"/>
      <a:font script="Syrc" typeface="Estrangelo Edessa"/>
      <a:font script="Orya" typeface="Kalinga"/>
      <a:font script="Mlym" typeface="Kartika"/>
      <a:font script="Laoo" typeface="DokChampa"/>
      <a:font script="Sinh" typeface="Iskoola Pota"/>
      <a:font script="Mong" typeface="Mongolian Baiti"/>
      <a:font script="Viet" typeface="Arial"/>
      <a:font script="Uigh" typeface="Microsoft Uighur"/>
      <a:font script="Geor" typeface="Sylfaen"/>
      <a:font script="Armn" typeface="Arial"/>
      <a:font script="Bugi" typeface="Leelawadee UI"/>
      <a:font script="Bopo" typeface="Microsoft JhengHei"/>
      <a:font script="Java" typeface="Javanese Text"/>
      <a:font script="Lisu" typeface="Segoe UI"/>
      <a:font script="Mymr" typeface="Myanmar Text"/>
      <a:font script="Nkoo" typeface="Ebrima"/>
      <a:font script="Olck" typeface="Nirmala UI"/>
      <a:font script="Osma" typeface="Ebrima"/>
      <a:font script="Phag" typeface="Phagspa"/>
      <a:font script="Syrn" typeface="Estrangelo Edessa"/>
      <a:font script="Syrj" typeface="Estrangelo Edessa"/>
      <a:font script="Syre" typeface="Estrangelo Edessa"/>
      <a:font script="Sora" typeface="Nirmala UI"/>
      <a:font script="Tale" typeface="Microsoft Tai Le"/>
      <a:font script="Talu" typeface="Microsoft New Tai Lue"/>
      <a:font script="Tfng" typeface="Ebrima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lumMod val="110000"/>
              <a:satMod val="105000"/>
              <a:tint val="67000"/>
            </a:schemeClr>
          </a:gs>
          <a:gs pos="50000">
            <a:schemeClr val="phClr">
              <a:lumMod val="105000"/>
              <a:satMod val="103000"/>
              <a:tint val="73000"/>
            </a:schemeClr>
          </a:gs>
          <a:gs pos="100000">
            <a:schemeClr val="phClr">
              <a:lumMod val="105000"/>
              <a:satMod val="109000"/>
              <a:tint val="81000"/>
            </a:schemeClr>
          </a:gs>
        </a:gsLst>
        <a:lin ang="5400000" scaled="0"/>
      </a:gradFill>
      <a:gradFill rotWithShape="1">
        <a:gsLst>
          <a:gs pos="0">
            <a:schemeClr val="phClr">
              <a:satMod val="103000"/>
              <a:lumMod val="102000"/>
              <a:tint val="94000"/>
            </a:schemeClr>
          </a:gs>
          <a:gs pos="50000">
            <a:schemeClr val="phClr">
              <a:satMod val="110000"/>
              <a:lumMod val="100000"/>
              <a:shade val="100000"/>
            </a:schemeClr>
          </a:gs>
          <a:gs pos="100000">
            <a:schemeClr val="phClr">
              <a:lumMod val="99000"/>
              <a:satMod val="120000"/>
              <a:shade val="78000"/>
            </a:schemeClr>
          </a:gs>
        </a:gsLst>
        <a:lin ang="5400000" scaled="0"/>
      </a:gradFill>
    </a:fillStyleLst>
    <a:lnStyleLst>
      <a:ln w="12700" cap="flat" cmpd="sng" algn="ctr">
        <a:solidFill>
          <a:schemeClr val="phClr"/>
        </a:solidFill>
        <a:prstDash val="solid"/>
        <a:miter lim="800000"/>
      </a:ln>
      <a:ln w="19050" cap="flat" cmpd="sng" algn="ctr">
        <a:solidFill>
          <a:schemeClr val="phClr"/>
        </a:solidFill>
        <a:prstDash val="solid"/>
        <a:miter lim="800000"/>
      </a:ln>
      <a:ln w="25400" cap="flat" cmpd="sng" algn="ctr">
        <a:solidFill>
          <a:schemeClr val="phClr"/>
        </a:solidFill>
        <a:prstDash val="solid"/>
        <a:miter lim="800000"/>
      </a:ln>
    </a:lnStyleLst>
    <a:effectStyleLst>
      <a:effectStyle>
        <a:effectLst/>
      </a:effectStyle>
      <a:effectStyle>
        <a:effectLst/>
      </a:effectStyle>
      <a:effectStyle>
        <a:effectLst>
          <a:outerShdw blurRad="57150" dist="19050" dir="5400000" algn="ctr" rotWithShape="0">
            <a:srgbClr val="000000">
              <a:alpha val="63000"/>
            </a:srgbClr>
          </a:outerShdw>
        </a:effectLst>
      </a:effectStyle>
    </a:effectStyleLst>
    <a:bgFillStyleLst>
      <a:solidFill>
        <a:schemeClr val="phClr"/>
      </a:solidFill>
      <a:solidFill>
        <a:schemeClr val="phClr">
          <a:tint val="95000"/>
          <a:satMod val="170000"/>
        </a:schemeClr>
      </a:solidFill>
      <a:gradFill rotWithShape="1">
        <a:gsLst>
          <a:gs pos="0">
            <a:schemeClr val="phClr">
              <a:tint val="93000"/>
              <a:satMod val="150000"/>
              <a:shade val="98000"/>
              <a:lumMod val="102000"/>
            </a:schemeClr>
          </a:gs>
          <a:gs pos="50000">
            <a:schemeClr val="phClr">
              <a:tint val="98000"/>
              <a:satMod val="130000"/>
              <a:shade val="90000"/>
              <a:lumMod val="103000"/>
            </a:schemeClr>
          </a:gs>
          <a:gs pos="100000">
            <a:schemeClr val="phClr">
              <a:shade val="63000"/>
              <a:satMod val="120000"/>
            </a:schemeClr>
          </a:gs>
        </a:gsLst>
        <a:lin ang="5400000" scaled="0"/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C1035D-9BA1-4D6C-9134-D35EF5F1255A}">
  <dimension ref="A1:AI54"/>
  <sheetViews>
    <sheetView topLeftCell="K1" zoomScale="61" zoomScaleNormal="100" workbookViewId="0">
      <selection activeCell="AE22" sqref="AE22"/>
    </sheetView>
  </sheetViews>
  <sheetFormatPr defaultRowHeight="14.25" x14ac:dyDescent="0.45"/>
  <sheetData>
    <row r="1" spans="1:35" x14ac:dyDescent="0.45">
      <c r="A1" t="s">
        <v>2</v>
      </c>
      <c r="B1" t="s">
        <v>9</v>
      </c>
      <c r="C1" t="s">
        <v>1</v>
      </c>
      <c r="D1" t="s">
        <v>4</v>
      </c>
    </row>
    <row r="2" spans="1:35" x14ac:dyDescent="0.45">
      <c r="D2">
        <v>2</v>
      </c>
    </row>
    <row r="3" spans="1:35" x14ac:dyDescent="0.45">
      <c r="E3" t="s">
        <v>3</v>
      </c>
    </row>
    <row r="6" spans="1:35" x14ac:dyDescent="0.45">
      <c r="T6" t="s">
        <v>2</v>
      </c>
      <c r="U6" t="s">
        <v>8</v>
      </c>
      <c r="V6" t="s">
        <v>1</v>
      </c>
      <c r="W6" t="s">
        <v>7</v>
      </c>
      <c r="AA6" t="s">
        <v>2</v>
      </c>
      <c r="AB6" t="s">
        <v>11</v>
      </c>
      <c r="AC6" t="s">
        <v>12</v>
      </c>
      <c r="AD6" t="s">
        <v>15</v>
      </c>
      <c r="AF6" t="s">
        <v>2</v>
      </c>
      <c r="AG6" t="s">
        <v>13</v>
      </c>
      <c r="AH6" t="s">
        <v>16</v>
      </c>
      <c r="AI6" t="s">
        <v>17</v>
      </c>
    </row>
    <row r="7" spans="1:35" x14ac:dyDescent="0.45">
      <c r="A7">
        <f>20*(ROW()-7)</f>
        <v>0</v>
      </c>
      <c r="B7">
        <v>1.01</v>
      </c>
      <c r="C7">
        <v>19.2</v>
      </c>
      <c r="T7">
        <v>0</v>
      </c>
      <c r="U7">
        <v>1.1160000000000001</v>
      </c>
      <c r="V7">
        <v>10.41</v>
      </c>
      <c r="X7">
        <v>1.1160000000000001</v>
      </c>
      <c r="AA7">
        <v>0</v>
      </c>
      <c r="AB7">
        <v>1.3049999999999999</v>
      </c>
      <c r="AC7">
        <v>1.3049999999999999</v>
      </c>
      <c r="AD7">
        <v>1.3049999999999999</v>
      </c>
      <c r="AF7">
        <v>0</v>
      </c>
      <c r="AG7">
        <v>1.2609999999999999</v>
      </c>
      <c r="AH7">
        <v>1.2609999999999999</v>
      </c>
      <c r="AI7">
        <v>75.277777</v>
      </c>
    </row>
    <row r="8" spans="1:35" x14ac:dyDescent="0.45">
      <c r="A8">
        <f t="shared" ref="A8:A23" si="0">20*(ROW()-7)</f>
        <v>20</v>
      </c>
      <c r="B8">
        <v>1</v>
      </c>
      <c r="C8">
        <v>19</v>
      </c>
      <c r="T8">
        <v>20</v>
      </c>
      <c r="U8">
        <v>1.105</v>
      </c>
      <c r="V8">
        <v>10.4</v>
      </c>
      <c r="X8" t="s">
        <v>10</v>
      </c>
      <c r="AA8">
        <v>30</v>
      </c>
      <c r="AB8">
        <v>1.2949999999999999</v>
      </c>
      <c r="AC8">
        <v>1.2969999999999999</v>
      </c>
      <c r="AD8">
        <v>1.298</v>
      </c>
      <c r="AF8">
        <v>30</v>
      </c>
      <c r="AG8">
        <v>1.2729999999999999</v>
      </c>
      <c r="AH8">
        <v>1.2709999999999999</v>
      </c>
      <c r="AI8">
        <v>78.055555549999994</v>
      </c>
    </row>
    <row r="9" spans="1:35" x14ac:dyDescent="0.45">
      <c r="A9">
        <f t="shared" si="0"/>
        <v>40</v>
      </c>
      <c r="B9">
        <v>1.004</v>
      </c>
      <c r="C9">
        <v>18.48</v>
      </c>
      <c r="T9">
        <v>40</v>
      </c>
      <c r="U9">
        <v>1.105</v>
      </c>
      <c r="V9">
        <v>10.34</v>
      </c>
      <c r="AA9">
        <v>60</v>
      </c>
      <c r="AB9">
        <v>1.288</v>
      </c>
      <c r="AC9">
        <v>1.292</v>
      </c>
      <c r="AD9">
        <v>1.2949999999999999</v>
      </c>
      <c r="AF9">
        <v>60</v>
      </c>
      <c r="AG9">
        <v>1.278</v>
      </c>
      <c r="AH9">
        <v>1.276</v>
      </c>
      <c r="AI9">
        <v>79.444444000000004</v>
      </c>
    </row>
    <row r="10" spans="1:35" x14ac:dyDescent="0.45">
      <c r="A10">
        <f t="shared" si="0"/>
        <v>60</v>
      </c>
      <c r="B10">
        <v>1.002</v>
      </c>
      <c r="C10">
        <v>18.41</v>
      </c>
      <c r="T10">
        <v>60</v>
      </c>
      <c r="U10">
        <v>1.1040000000000001</v>
      </c>
      <c r="V10">
        <v>10.25</v>
      </c>
      <c r="AA10">
        <v>90</v>
      </c>
      <c r="AB10">
        <v>1.2829999999999999</v>
      </c>
      <c r="AC10">
        <v>1.288</v>
      </c>
      <c r="AD10">
        <v>1.2929999999999999</v>
      </c>
      <c r="AF10">
        <v>90</v>
      </c>
      <c r="AG10">
        <v>1.282</v>
      </c>
      <c r="AH10">
        <v>1.28</v>
      </c>
      <c r="AI10">
        <v>80.555554999999998</v>
      </c>
    </row>
    <row r="11" spans="1:35" x14ac:dyDescent="0.45">
      <c r="A11">
        <f t="shared" si="0"/>
        <v>80</v>
      </c>
      <c r="B11">
        <v>0.999</v>
      </c>
      <c r="C11">
        <v>18.329999999999998</v>
      </c>
      <c r="T11">
        <v>80</v>
      </c>
      <c r="U11">
        <v>1.1020000000000001</v>
      </c>
      <c r="V11">
        <v>10.210000000000001</v>
      </c>
      <c r="AA11">
        <v>120</v>
      </c>
      <c r="AB11">
        <v>1.28</v>
      </c>
      <c r="AC11">
        <v>1.2869999999999999</v>
      </c>
      <c r="AD11">
        <v>1.2909999999999999</v>
      </c>
      <c r="AF11">
        <v>120</v>
      </c>
      <c r="AG11">
        <v>1.2849999999999999</v>
      </c>
      <c r="AH11">
        <v>1.2829999999999999</v>
      </c>
      <c r="AI11">
        <v>81.388888800000004</v>
      </c>
    </row>
    <row r="12" spans="1:35" x14ac:dyDescent="0.45">
      <c r="A12">
        <f t="shared" si="0"/>
        <v>100</v>
      </c>
      <c r="B12">
        <v>0.997</v>
      </c>
      <c r="C12">
        <v>18.25</v>
      </c>
      <c r="T12">
        <v>100</v>
      </c>
      <c r="U12">
        <v>1.1000000000000001</v>
      </c>
      <c r="V12">
        <v>10.199999999999999</v>
      </c>
      <c r="AA12">
        <v>150</v>
      </c>
      <c r="AB12">
        <v>1.276</v>
      </c>
      <c r="AC12">
        <v>1.282</v>
      </c>
      <c r="AD12">
        <v>1.2889999999999999</v>
      </c>
      <c r="AF12">
        <v>150</v>
      </c>
      <c r="AG12">
        <v>1.288</v>
      </c>
      <c r="AH12">
        <v>1.2869999999999999</v>
      </c>
      <c r="AI12">
        <v>82.5</v>
      </c>
    </row>
    <row r="13" spans="1:35" x14ac:dyDescent="0.45">
      <c r="A13">
        <f t="shared" si="0"/>
        <v>120</v>
      </c>
      <c r="B13">
        <v>0.99399999999999999</v>
      </c>
      <c r="C13">
        <v>18.18</v>
      </c>
      <c r="T13">
        <v>120</v>
      </c>
      <c r="U13">
        <v>1.099</v>
      </c>
      <c r="V13">
        <v>10.130000000000001</v>
      </c>
      <c r="AA13">
        <v>180</v>
      </c>
      <c r="AB13">
        <v>1.27</v>
      </c>
      <c r="AC13">
        <v>1.278</v>
      </c>
      <c r="AD13">
        <v>1.2869999999999999</v>
      </c>
      <c r="AF13">
        <v>180</v>
      </c>
      <c r="AG13">
        <v>1.29</v>
      </c>
      <c r="AH13">
        <v>1.29</v>
      </c>
      <c r="AI13">
        <v>83.333333300000007</v>
      </c>
    </row>
    <row r="14" spans="1:35" x14ac:dyDescent="0.45">
      <c r="A14">
        <f t="shared" si="0"/>
        <v>140</v>
      </c>
      <c r="B14">
        <v>0.99099999999999999</v>
      </c>
      <c r="C14">
        <v>18.12</v>
      </c>
      <c r="T14">
        <v>140</v>
      </c>
      <c r="U14">
        <v>1.097</v>
      </c>
      <c r="V14">
        <v>10.09</v>
      </c>
      <c r="AA14">
        <v>210</v>
      </c>
      <c r="AB14">
        <v>1.266</v>
      </c>
      <c r="AC14">
        <v>1.2749999999999999</v>
      </c>
      <c r="AD14">
        <v>1.2849999999999999</v>
      </c>
      <c r="AF14">
        <v>210</v>
      </c>
      <c r="AG14">
        <v>1.2929999999999999</v>
      </c>
      <c r="AH14">
        <v>1.292</v>
      </c>
      <c r="AI14">
        <v>83.888888879999996</v>
      </c>
    </row>
    <row r="15" spans="1:35" x14ac:dyDescent="0.45">
      <c r="A15">
        <f t="shared" si="0"/>
        <v>160</v>
      </c>
      <c r="B15">
        <v>0.98799999999999999</v>
      </c>
      <c r="C15">
        <v>18</v>
      </c>
      <c r="T15">
        <v>160</v>
      </c>
      <c r="U15">
        <v>1.0960000000000001</v>
      </c>
      <c r="V15">
        <v>10.039999999999999</v>
      </c>
      <c r="AA15">
        <v>240</v>
      </c>
      <c r="AB15">
        <v>1.2609999999999999</v>
      </c>
      <c r="AC15">
        <v>1.2729999999999999</v>
      </c>
      <c r="AD15">
        <v>1.2829999999999999</v>
      </c>
      <c r="AF15">
        <v>240</v>
      </c>
      <c r="AG15">
        <v>1.2949999999999999</v>
      </c>
      <c r="AH15">
        <v>1.2949999999999999</v>
      </c>
      <c r="AI15">
        <v>84.722222200000004</v>
      </c>
    </row>
    <row r="16" spans="1:35" x14ac:dyDescent="0.45">
      <c r="A16">
        <f t="shared" si="0"/>
        <v>180</v>
      </c>
      <c r="B16">
        <v>0.98599999999999999</v>
      </c>
      <c r="C16">
        <v>17.940000000000001</v>
      </c>
      <c r="T16">
        <v>180</v>
      </c>
      <c r="U16">
        <v>1.0940000000000001</v>
      </c>
      <c r="V16">
        <v>10</v>
      </c>
      <c r="AA16">
        <v>270</v>
      </c>
      <c r="AB16">
        <v>1.2589999999999999</v>
      </c>
      <c r="AC16">
        <v>1.2689999999999999</v>
      </c>
      <c r="AD16">
        <v>1.282</v>
      </c>
      <c r="AF16">
        <v>270</v>
      </c>
      <c r="AG16">
        <v>1.298</v>
      </c>
      <c r="AH16">
        <v>1.2989999999999999</v>
      </c>
      <c r="AI16">
        <v>85.833333300000007</v>
      </c>
    </row>
    <row r="17" spans="1:35" x14ac:dyDescent="0.45">
      <c r="A17">
        <f t="shared" si="0"/>
        <v>200</v>
      </c>
      <c r="B17">
        <v>0.98399999999999999</v>
      </c>
      <c r="C17">
        <v>17.87</v>
      </c>
      <c r="T17">
        <v>200</v>
      </c>
      <c r="U17">
        <v>1.093</v>
      </c>
      <c r="V17">
        <v>9.8699999999999992</v>
      </c>
      <c r="AA17">
        <v>300</v>
      </c>
      <c r="AB17">
        <v>1.256</v>
      </c>
      <c r="AC17">
        <v>1.266</v>
      </c>
      <c r="AD17">
        <v>1.28</v>
      </c>
      <c r="AF17">
        <v>300</v>
      </c>
      <c r="AG17">
        <v>1.3</v>
      </c>
      <c r="AH17">
        <v>1.3009999999999999</v>
      </c>
      <c r="AI17">
        <v>86.3888888888888</v>
      </c>
    </row>
    <row r="18" spans="1:35" x14ac:dyDescent="0.45">
      <c r="A18">
        <f t="shared" si="0"/>
        <v>220</v>
      </c>
      <c r="B18">
        <v>0.98299999999999998</v>
      </c>
      <c r="C18">
        <v>17.829999999999998</v>
      </c>
      <c r="T18">
        <v>220</v>
      </c>
      <c r="U18">
        <v>1.0920000000000001</v>
      </c>
      <c r="V18">
        <v>9.7899999999999991</v>
      </c>
      <c r="AA18">
        <v>330</v>
      </c>
      <c r="AB18">
        <v>1.252</v>
      </c>
      <c r="AC18">
        <v>1.264</v>
      </c>
      <c r="AD18">
        <v>1.2789999999999999</v>
      </c>
      <c r="AF18">
        <v>330</v>
      </c>
      <c r="AG18">
        <v>1.298</v>
      </c>
      <c r="AH18">
        <v>1.3029999999999999</v>
      </c>
      <c r="AI18">
        <v>86.944444439999998</v>
      </c>
    </row>
    <row r="19" spans="1:35" x14ac:dyDescent="0.45">
      <c r="A19">
        <f t="shared" si="0"/>
        <v>240</v>
      </c>
      <c r="B19">
        <v>0.98099999999999998</v>
      </c>
      <c r="C19">
        <v>17.649999999999999</v>
      </c>
      <c r="T19">
        <v>240</v>
      </c>
      <c r="U19">
        <v>1.0900000000000001</v>
      </c>
      <c r="V19">
        <v>9.75</v>
      </c>
      <c r="AA19">
        <v>360</v>
      </c>
      <c r="AB19">
        <v>1.2490000000000001</v>
      </c>
      <c r="AC19">
        <v>1.2609999999999999</v>
      </c>
      <c r="AD19">
        <v>1.2769999999999999</v>
      </c>
      <c r="AF19">
        <v>360</v>
      </c>
      <c r="AG19">
        <v>1.3009999999999999</v>
      </c>
      <c r="AH19">
        <v>1.3049999999999999</v>
      </c>
      <c r="AI19">
        <v>87.5</v>
      </c>
    </row>
    <row r="20" spans="1:35" x14ac:dyDescent="0.45">
      <c r="A20">
        <f t="shared" si="0"/>
        <v>260</v>
      </c>
      <c r="B20">
        <v>0.98</v>
      </c>
      <c r="C20">
        <v>17.600000000000001</v>
      </c>
      <c r="T20">
        <v>260</v>
      </c>
      <c r="U20">
        <v>1.089</v>
      </c>
      <c r="V20">
        <v>9.73</v>
      </c>
      <c r="AF20">
        <v>390</v>
      </c>
      <c r="AG20">
        <v>1.304</v>
      </c>
    </row>
    <row r="21" spans="1:35" x14ac:dyDescent="0.45">
      <c r="A21">
        <f t="shared" si="0"/>
        <v>280</v>
      </c>
      <c r="B21">
        <v>0.97799999999999998</v>
      </c>
      <c r="C21">
        <v>17.559999999999999</v>
      </c>
      <c r="T21">
        <v>280</v>
      </c>
      <c r="U21">
        <v>1.0880000000000001</v>
      </c>
      <c r="V21">
        <v>9.7200000000000006</v>
      </c>
      <c r="AF21">
        <v>420</v>
      </c>
      <c r="AG21">
        <v>1.3049999999999999</v>
      </c>
    </row>
    <row r="22" spans="1:35" x14ac:dyDescent="0.45">
      <c r="A22">
        <f t="shared" si="0"/>
        <v>300</v>
      </c>
      <c r="B22">
        <v>0.97599999999999998</v>
      </c>
      <c r="C22">
        <v>17.579999999999998</v>
      </c>
      <c r="T22">
        <v>300</v>
      </c>
      <c r="U22">
        <v>1.087</v>
      </c>
      <c r="V22">
        <v>9.69</v>
      </c>
    </row>
    <row r="23" spans="1:35" x14ac:dyDescent="0.45">
      <c r="A23">
        <f t="shared" si="0"/>
        <v>320</v>
      </c>
      <c r="B23">
        <v>0.97499999999999998</v>
      </c>
      <c r="C23">
        <v>17.510000000000002</v>
      </c>
      <c r="T23">
        <v>320</v>
      </c>
      <c r="U23">
        <v>1.087</v>
      </c>
      <c r="V23">
        <v>9.6999999999999993</v>
      </c>
    </row>
    <row r="27" spans="1:35" x14ac:dyDescent="0.45">
      <c r="A27" t="s">
        <v>5</v>
      </c>
      <c r="B27" t="s">
        <v>0</v>
      </c>
      <c r="C27" t="s">
        <v>6</v>
      </c>
      <c r="AF27" t="s">
        <v>14</v>
      </c>
    </row>
    <row r="28" spans="1:35" x14ac:dyDescent="0.45">
      <c r="A28">
        <v>0</v>
      </c>
      <c r="B28">
        <v>1.2450000000000001</v>
      </c>
      <c r="C28">
        <v>0</v>
      </c>
    </row>
    <row r="29" spans="1:35" x14ac:dyDescent="0.45">
      <c r="A29">
        <v>1</v>
      </c>
      <c r="B29">
        <v>1.337</v>
      </c>
      <c r="C29">
        <v>2.2000000000000002</v>
      </c>
    </row>
    <row r="30" spans="1:35" x14ac:dyDescent="0.45">
      <c r="A30">
        <v>2</v>
      </c>
      <c r="B30">
        <v>1.3440000000000001</v>
      </c>
      <c r="C30">
        <v>2.2799999999999998</v>
      </c>
    </row>
    <row r="31" spans="1:35" x14ac:dyDescent="0.45">
      <c r="A31">
        <v>3</v>
      </c>
      <c r="B31">
        <v>1.35</v>
      </c>
      <c r="C31">
        <v>2.23</v>
      </c>
    </row>
    <row r="32" spans="1:35" x14ac:dyDescent="0.45">
      <c r="A32">
        <v>4</v>
      </c>
      <c r="B32">
        <v>1.353</v>
      </c>
      <c r="C32">
        <v>2.1800000000000002</v>
      </c>
    </row>
    <row r="33" spans="1:3" x14ac:dyDescent="0.45">
      <c r="A33">
        <v>5</v>
      </c>
      <c r="B33">
        <v>1.359</v>
      </c>
      <c r="C33">
        <v>2.19</v>
      </c>
    </row>
    <row r="34" spans="1:3" x14ac:dyDescent="0.45">
      <c r="A34">
        <v>6</v>
      </c>
    </row>
    <row r="35" spans="1:3" x14ac:dyDescent="0.45">
      <c r="A35">
        <v>7</v>
      </c>
    </row>
    <row r="36" spans="1:3" x14ac:dyDescent="0.45">
      <c r="A36">
        <v>8</v>
      </c>
    </row>
    <row r="37" spans="1:3" x14ac:dyDescent="0.45">
      <c r="A37">
        <v>9</v>
      </c>
    </row>
    <row r="38" spans="1:3" x14ac:dyDescent="0.45">
      <c r="A38">
        <v>10</v>
      </c>
    </row>
    <row r="39" spans="1:3" x14ac:dyDescent="0.45">
      <c r="A39">
        <v>11</v>
      </c>
    </row>
    <row r="40" spans="1:3" x14ac:dyDescent="0.45">
      <c r="A40">
        <v>12</v>
      </c>
    </row>
    <row r="41" spans="1:3" x14ac:dyDescent="0.45">
      <c r="A41">
        <v>13</v>
      </c>
    </row>
    <row r="42" spans="1:3" x14ac:dyDescent="0.45">
      <c r="A42">
        <v>14</v>
      </c>
    </row>
    <row r="43" spans="1:3" x14ac:dyDescent="0.45">
      <c r="A43">
        <v>15</v>
      </c>
    </row>
    <row r="44" spans="1:3" x14ac:dyDescent="0.45">
      <c r="A44">
        <v>16</v>
      </c>
    </row>
    <row r="45" spans="1:3" x14ac:dyDescent="0.45">
      <c r="A45">
        <v>17</v>
      </c>
    </row>
    <row r="46" spans="1:3" x14ac:dyDescent="0.45">
      <c r="A46">
        <v>18</v>
      </c>
    </row>
    <row r="47" spans="1:3" x14ac:dyDescent="0.45">
      <c r="A47">
        <v>19</v>
      </c>
    </row>
    <row r="48" spans="1:3" x14ac:dyDescent="0.45">
      <c r="A48">
        <v>20</v>
      </c>
    </row>
    <row r="49" spans="1:1" x14ac:dyDescent="0.45">
      <c r="A49">
        <v>21</v>
      </c>
    </row>
    <row r="50" spans="1:1" x14ac:dyDescent="0.45">
      <c r="A50">
        <v>22</v>
      </c>
    </row>
    <row r="51" spans="1:1" x14ac:dyDescent="0.45">
      <c r="A51">
        <v>23</v>
      </c>
    </row>
    <row r="52" spans="1:1" x14ac:dyDescent="0.45">
      <c r="A52">
        <v>24</v>
      </c>
    </row>
    <row r="53" spans="1:1" x14ac:dyDescent="0.45">
      <c r="A53">
        <v>25</v>
      </c>
    </row>
    <row r="54" spans="1:1" x14ac:dyDescent="0.45">
      <c r="A54">
        <v>26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CED49E-8ACB-4012-90D2-2909CD85D357}">
  <dimension ref="A1:N14"/>
  <sheetViews>
    <sheetView tabSelected="1" zoomScale="52" workbookViewId="0">
      <selection activeCell="P31" sqref="P31"/>
    </sheetView>
  </sheetViews>
  <sheetFormatPr defaultRowHeight="14.25" x14ac:dyDescent="0.45"/>
  <cols>
    <col min="12" max="12" width="19.796875" customWidth="1"/>
    <col min="13" max="13" width="24.19921875" customWidth="1"/>
    <col min="14" max="14" width="23.46484375" customWidth="1"/>
  </cols>
  <sheetData>
    <row r="1" spans="1:14" x14ac:dyDescent="0.45">
      <c r="A1" t="s">
        <v>2</v>
      </c>
      <c r="B1" t="s">
        <v>11</v>
      </c>
      <c r="C1" t="s">
        <v>12</v>
      </c>
      <c r="D1" t="s">
        <v>15</v>
      </c>
      <c r="F1" t="s">
        <v>2</v>
      </c>
      <c r="G1" t="s">
        <v>13</v>
      </c>
      <c r="H1" t="s">
        <v>16</v>
      </c>
      <c r="I1" t="s">
        <v>17</v>
      </c>
      <c r="L1" t="s">
        <v>18</v>
      </c>
      <c r="M1" t="s">
        <v>19</v>
      </c>
      <c r="N1" t="s">
        <v>20</v>
      </c>
    </row>
    <row r="2" spans="1:14" x14ac:dyDescent="0.45">
      <c r="A2">
        <v>0</v>
      </c>
      <c r="B2">
        <v>1.3049999999999999</v>
      </c>
      <c r="C2">
        <v>1.3049999999999999</v>
      </c>
      <c r="D2">
        <v>1.3049999999999999</v>
      </c>
      <c r="F2">
        <v>0</v>
      </c>
      <c r="G2">
        <v>1.2609999999999999</v>
      </c>
      <c r="H2">
        <v>1.2609999999999999</v>
      </c>
      <c r="I2">
        <v>75.277777</v>
      </c>
      <c r="L2">
        <f>100 - (25/0.09 * (1.35 - B2))</f>
        <v>87.499999999999957</v>
      </c>
      <c r="M2">
        <f>100 - (25/0.09 * (1.35 - C2))</f>
        <v>87.499999999999957</v>
      </c>
      <c r="N2">
        <f t="shared" ref="M2:N14" si="0">100 - (25/0.09 * (1.35 - D2))</f>
        <v>87.499999999999957</v>
      </c>
    </row>
    <row r="3" spans="1:14" x14ac:dyDescent="0.45">
      <c r="A3">
        <v>30</v>
      </c>
      <c r="B3">
        <v>1.2949999999999999</v>
      </c>
      <c r="C3">
        <v>1.2969999999999999</v>
      </c>
      <c r="D3">
        <v>1.298</v>
      </c>
      <c r="F3">
        <v>30</v>
      </c>
      <c r="G3">
        <v>1.2729999999999999</v>
      </c>
      <c r="H3">
        <v>1.2709999999999999</v>
      </c>
      <c r="I3">
        <v>78.055555549999994</v>
      </c>
      <c r="L3">
        <f t="shared" ref="L3:L14" si="1">100 - (25/0.09 * (1.35 - B3))</f>
        <v>84.722222222222172</v>
      </c>
      <c r="M3">
        <f t="shared" si="0"/>
        <v>85.277777777777729</v>
      </c>
      <c r="N3">
        <f t="shared" si="0"/>
        <v>85.555555555555543</v>
      </c>
    </row>
    <row r="4" spans="1:14" x14ac:dyDescent="0.45">
      <c r="A4">
        <v>60</v>
      </c>
      <c r="B4">
        <v>1.288</v>
      </c>
      <c r="C4">
        <v>1.292</v>
      </c>
      <c r="D4">
        <v>1.2949999999999999</v>
      </c>
      <c r="F4">
        <v>60</v>
      </c>
      <c r="G4">
        <v>1.278</v>
      </c>
      <c r="H4">
        <v>1.276</v>
      </c>
      <c r="I4">
        <v>79.444444000000004</v>
      </c>
      <c r="L4">
        <f t="shared" si="1"/>
        <v>82.777777777777771</v>
      </c>
      <c r="M4">
        <f t="shared" si="0"/>
        <v>83.888888888888872</v>
      </c>
      <c r="N4">
        <f t="shared" si="0"/>
        <v>84.722222222222172</v>
      </c>
    </row>
    <row r="5" spans="1:14" x14ac:dyDescent="0.45">
      <c r="A5">
        <v>90</v>
      </c>
      <c r="B5">
        <v>1.2829999999999999</v>
      </c>
      <c r="C5">
        <v>1.288</v>
      </c>
      <c r="D5">
        <v>1.2929999999999999</v>
      </c>
      <c r="F5">
        <v>90</v>
      </c>
      <c r="G5">
        <v>1.282</v>
      </c>
      <c r="H5">
        <v>1.28</v>
      </c>
      <c r="I5">
        <v>80.555554999999998</v>
      </c>
      <c r="L5">
        <f t="shared" si="1"/>
        <v>81.388888888888843</v>
      </c>
      <c r="M5">
        <f t="shared" si="0"/>
        <v>82.777777777777771</v>
      </c>
      <c r="N5">
        <f t="shared" si="0"/>
        <v>84.166666666666629</v>
      </c>
    </row>
    <row r="6" spans="1:14" x14ac:dyDescent="0.45">
      <c r="A6">
        <v>120</v>
      </c>
      <c r="B6">
        <v>1.28</v>
      </c>
      <c r="C6">
        <v>1.2869999999999999</v>
      </c>
      <c r="D6">
        <v>1.2909999999999999</v>
      </c>
      <c r="F6">
        <v>120</v>
      </c>
      <c r="G6">
        <v>1.2849999999999999</v>
      </c>
      <c r="H6">
        <v>1.2829999999999999</v>
      </c>
      <c r="I6">
        <v>81.388888800000004</v>
      </c>
      <c r="L6">
        <f t="shared" si="1"/>
        <v>80.555555555555543</v>
      </c>
      <c r="M6">
        <f t="shared" si="0"/>
        <v>82.499999999999957</v>
      </c>
      <c r="N6">
        <f t="shared" si="0"/>
        <v>83.611111111111057</v>
      </c>
    </row>
    <row r="7" spans="1:14" x14ac:dyDescent="0.45">
      <c r="A7">
        <v>150</v>
      </c>
      <c r="B7">
        <v>1.276</v>
      </c>
      <c r="C7">
        <v>1.282</v>
      </c>
      <c r="D7">
        <v>1.2889999999999999</v>
      </c>
      <c r="F7">
        <v>150</v>
      </c>
      <c r="G7">
        <v>1.288</v>
      </c>
      <c r="H7">
        <v>1.2869999999999999</v>
      </c>
      <c r="I7">
        <v>82.5</v>
      </c>
      <c r="L7">
        <f t="shared" si="1"/>
        <v>79.444444444444429</v>
      </c>
      <c r="M7">
        <f t="shared" si="0"/>
        <v>81.1111111111111</v>
      </c>
      <c r="N7">
        <f t="shared" si="0"/>
        <v>83.055555555555515</v>
      </c>
    </row>
    <row r="8" spans="1:14" x14ac:dyDescent="0.45">
      <c r="A8">
        <v>180</v>
      </c>
      <c r="B8">
        <v>1.27</v>
      </c>
      <c r="C8">
        <v>1.278</v>
      </c>
      <c r="D8">
        <v>1.2869999999999999</v>
      </c>
      <c r="F8">
        <v>180</v>
      </c>
      <c r="G8">
        <v>1.29</v>
      </c>
      <c r="H8">
        <v>1.29</v>
      </c>
      <c r="I8">
        <v>83.333333300000007</v>
      </c>
      <c r="L8">
        <f t="shared" si="1"/>
        <v>77.777777777777757</v>
      </c>
      <c r="M8">
        <f t="shared" si="0"/>
        <v>79.999999999999986</v>
      </c>
      <c r="N8">
        <f t="shared" si="0"/>
        <v>82.499999999999957</v>
      </c>
    </row>
    <row r="9" spans="1:14" x14ac:dyDescent="0.45">
      <c r="A9">
        <v>210</v>
      </c>
      <c r="B9">
        <v>1.266</v>
      </c>
      <c r="C9">
        <v>1.2749999999999999</v>
      </c>
      <c r="D9">
        <v>1.2849999999999999</v>
      </c>
      <c r="F9">
        <v>210</v>
      </c>
      <c r="G9">
        <v>1.2929999999999999</v>
      </c>
      <c r="H9">
        <v>1.292</v>
      </c>
      <c r="I9">
        <v>83.888888879999996</v>
      </c>
      <c r="L9">
        <f t="shared" si="1"/>
        <v>76.666666666666643</v>
      </c>
      <c r="M9">
        <f t="shared" si="0"/>
        <v>79.166666666666615</v>
      </c>
      <c r="N9">
        <f t="shared" si="0"/>
        <v>81.9444444444444</v>
      </c>
    </row>
    <row r="10" spans="1:14" x14ac:dyDescent="0.45">
      <c r="A10">
        <v>240</v>
      </c>
      <c r="B10">
        <v>1.2609999999999999</v>
      </c>
      <c r="C10">
        <v>1.2729999999999999</v>
      </c>
      <c r="D10">
        <v>1.2829999999999999</v>
      </c>
      <c r="F10">
        <v>240</v>
      </c>
      <c r="G10">
        <v>1.2949999999999999</v>
      </c>
      <c r="H10">
        <v>1.2949999999999999</v>
      </c>
      <c r="I10">
        <v>84.722222200000004</v>
      </c>
      <c r="L10">
        <f t="shared" si="1"/>
        <v>75.277777777777729</v>
      </c>
      <c r="M10">
        <f t="shared" si="0"/>
        <v>78.611111111111057</v>
      </c>
      <c r="N10">
        <f t="shared" si="0"/>
        <v>81.388888888888843</v>
      </c>
    </row>
    <row r="11" spans="1:14" x14ac:dyDescent="0.45">
      <c r="A11">
        <v>270</v>
      </c>
      <c r="B11">
        <v>1.2589999999999999</v>
      </c>
      <c r="C11">
        <v>1.2689999999999999</v>
      </c>
      <c r="D11">
        <v>1.282</v>
      </c>
      <c r="F11">
        <v>270</v>
      </c>
      <c r="G11">
        <v>1.298</v>
      </c>
      <c r="H11">
        <v>1.2989999999999999</v>
      </c>
      <c r="I11">
        <v>85.833333300000007</v>
      </c>
      <c r="L11">
        <f t="shared" si="1"/>
        <v>74.722222222222172</v>
      </c>
      <c r="M11">
        <f t="shared" si="0"/>
        <v>77.499999999999943</v>
      </c>
      <c r="N11">
        <f t="shared" si="0"/>
        <v>81.1111111111111</v>
      </c>
    </row>
    <row r="12" spans="1:14" x14ac:dyDescent="0.45">
      <c r="A12">
        <v>300</v>
      </c>
      <c r="B12">
        <v>1.256</v>
      </c>
      <c r="C12">
        <v>1.266</v>
      </c>
      <c r="D12">
        <v>1.28</v>
      </c>
      <c r="F12">
        <v>300</v>
      </c>
      <c r="G12">
        <v>1.3</v>
      </c>
      <c r="H12">
        <v>1.3009999999999999</v>
      </c>
      <c r="I12">
        <v>86.3888888888888</v>
      </c>
      <c r="L12">
        <f t="shared" si="1"/>
        <v>73.888888888888872</v>
      </c>
      <c r="M12">
        <f t="shared" si="0"/>
        <v>76.666666666666643</v>
      </c>
      <c r="N12">
        <f t="shared" si="0"/>
        <v>80.555555555555543</v>
      </c>
    </row>
    <row r="13" spans="1:14" x14ac:dyDescent="0.45">
      <c r="A13">
        <v>330</v>
      </c>
      <c r="B13">
        <v>1.252</v>
      </c>
      <c r="C13">
        <v>1.264</v>
      </c>
      <c r="D13">
        <v>1.2789999999999999</v>
      </c>
      <c r="F13">
        <v>330</v>
      </c>
      <c r="G13">
        <v>1.298</v>
      </c>
      <c r="H13">
        <v>1.3029999999999999</v>
      </c>
      <c r="I13">
        <v>86.944444439999998</v>
      </c>
      <c r="L13">
        <f t="shared" si="1"/>
        <v>72.777777777777757</v>
      </c>
      <c r="M13">
        <f t="shared" si="0"/>
        <v>76.111111111111086</v>
      </c>
      <c r="N13">
        <f t="shared" si="0"/>
        <v>80.277777777777729</v>
      </c>
    </row>
    <row r="14" spans="1:14" x14ac:dyDescent="0.45">
      <c r="A14">
        <v>360</v>
      </c>
      <c r="B14">
        <v>1.2490000000000001</v>
      </c>
      <c r="C14">
        <v>1.2609999999999999</v>
      </c>
      <c r="D14">
        <v>1.2769999999999999</v>
      </c>
      <c r="F14">
        <v>360</v>
      </c>
      <c r="G14">
        <v>1.3009999999999999</v>
      </c>
      <c r="H14">
        <v>1.3049999999999999</v>
      </c>
      <c r="I14">
        <v>87.5</v>
      </c>
      <c r="L14">
        <f t="shared" si="1"/>
        <v>71.944444444444457</v>
      </c>
      <c r="M14">
        <f t="shared" si="0"/>
        <v>75.277777777777729</v>
      </c>
      <c r="N14">
        <f t="shared" si="0"/>
        <v>79.722222222222172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Results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Linus Hollnagel</dc:creator>
  <cp:lastModifiedBy>Linus Hollnagel</cp:lastModifiedBy>
  <dcterms:created xsi:type="dcterms:W3CDTF">2025-11-24T09:44:16Z</dcterms:created>
  <dcterms:modified xsi:type="dcterms:W3CDTF">2025-11-27T13:00:20Z</dcterms:modified>
</cp:coreProperties>
</file>